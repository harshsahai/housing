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sahai/Desktop/Workspace/Housing/"/>
    </mc:Choice>
  </mc:AlternateContent>
  <xr:revisionPtr revIDLastSave="0" documentId="8_{6A759DDB-D995-B146-8EB5-328B7E0DC999}" xr6:coauthVersionLast="36" xr6:coauthVersionMax="36" xr10:uidLastSave="{00000000-0000-0000-0000-000000000000}"/>
  <bookViews>
    <workbookView xWindow="0" yWindow="0" windowWidth="27320" windowHeight="15360" xr2:uid="{557B7763-B617-EB4C-9AA5-0A5F97D867DA}"/>
  </bookViews>
  <sheets>
    <sheet name="Comparison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2" l="1"/>
  <c r="P6" i="2" s="1"/>
  <c r="E19" i="2"/>
  <c r="I19" i="2" s="1"/>
  <c r="F20" i="2"/>
  <c r="K20" i="2" s="1"/>
  <c r="C20" i="2"/>
  <c r="D20" i="2" s="1"/>
  <c r="C14" i="2"/>
  <c r="E22" i="2" s="1"/>
  <c r="B21" i="2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P49" i="2" s="1"/>
  <c r="H20" i="2" l="1"/>
  <c r="P24" i="2"/>
  <c r="P40" i="2"/>
  <c r="P48" i="2"/>
  <c r="P32" i="2"/>
  <c r="P36" i="2"/>
  <c r="P44" i="2"/>
  <c r="P28" i="2"/>
  <c r="G20" i="2"/>
  <c r="M19" i="2" s="1"/>
  <c r="P19" i="2" s="1"/>
  <c r="P46" i="2"/>
  <c r="P42" i="2"/>
  <c r="P38" i="2"/>
  <c r="P34" i="2"/>
  <c r="P30" i="2"/>
  <c r="P26" i="2"/>
  <c r="F21" i="2"/>
  <c r="P47" i="2"/>
  <c r="P43" i="2"/>
  <c r="P39" i="2"/>
  <c r="P35" i="2"/>
  <c r="P31" i="2"/>
  <c r="P27" i="2"/>
  <c r="P23" i="2"/>
  <c r="P45" i="2"/>
  <c r="P41" i="2"/>
  <c r="P37" i="2"/>
  <c r="P33" i="2"/>
  <c r="P29" i="2"/>
  <c r="P25" i="2"/>
  <c r="P5" i="2"/>
  <c r="E21" i="2"/>
  <c r="E44" i="2"/>
  <c r="E36" i="2"/>
  <c r="E32" i="2"/>
  <c r="E28" i="2"/>
  <c r="E24" i="2"/>
  <c r="E49" i="2"/>
  <c r="E40" i="2"/>
  <c r="E20" i="2"/>
  <c r="I20" i="2" s="1"/>
  <c r="J20" i="2" s="1"/>
  <c r="E47" i="2"/>
  <c r="E43" i="2"/>
  <c r="E39" i="2"/>
  <c r="E35" i="2"/>
  <c r="E31" i="2"/>
  <c r="E27" i="2"/>
  <c r="E23" i="2"/>
  <c r="E45" i="2"/>
  <c r="E41" i="2"/>
  <c r="E37" i="2"/>
  <c r="E33" i="2"/>
  <c r="E29" i="2"/>
  <c r="E25" i="2"/>
  <c r="E48" i="2"/>
  <c r="E46" i="2"/>
  <c r="E42" i="2"/>
  <c r="E38" i="2"/>
  <c r="E34" i="2"/>
  <c r="E30" i="2"/>
  <c r="E26" i="2"/>
  <c r="F22" i="2" l="1"/>
  <c r="H21" i="2"/>
  <c r="I21" i="2" s="1"/>
  <c r="K21" i="2"/>
  <c r="C21" i="2"/>
  <c r="G21" i="2" s="1"/>
  <c r="M20" i="2"/>
  <c r="P20" i="2" s="1"/>
  <c r="M21" i="2" l="1"/>
  <c r="P21" i="2" s="1"/>
  <c r="F23" i="2"/>
  <c r="H22" i="2"/>
  <c r="I22" i="2" s="1"/>
  <c r="K22" i="2"/>
  <c r="D21" i="2"/>
  <c r="C22" i="2" s="1"/>
  <c r="G22" i="2" s="1"/>
  <c r="P22" i="2" s="1"/>
  <c r="P4" i="2" s="1"/>
  <c r="M22" i="2" l="1"/>
  <c r="F24" i="2"/>
  <c r="H23" i="2"/>
  <c r="I23" i="2" s="1"/>
  <c r="K23" i="2"/>
  <c r="P7" i="2"/>
  <c r="D22" i="2"/>
  <c r="C23" i="2" s="1"/>
  <c r="G23" i="2" s="1"/>
  <c r="M23" i="2" l="1"/>
  <c r="F25" i="2"/>
  <c r="H24" i="2"/>
  <c r="I24" i="2" s="1"/>
  <c r="K24" i="2"/>
  <c r="D23" i="2"/>
  <c r="C24" i="2" s="1"/>
  <c r="G24" i="2" s="1"/>
  <c r="M24" i="2" l="1"/>
  <c r="F26" i="2"/>
  <c r="H25" i="2"/>
  <c r="I25" i="2" s="1"/>
  <c r="K25" i="2"/>
  <c r="D24" i="2"/>
  <c r="C25" i="2" s="1"/>
  <c r="D25" i="2" s="1"/>
  <c r="C26" i="2" s="1"/>
  <c r="M25" i="2" l="1"/>
  <c r="F27" i="2"/>
  <c r="H26" i="2"/>
  <c r="I26" i="2" s="1"/>
  <c r="K26" i="2"/>
  <c r="G25" i="2"/>
  <c r="D26" i="2"/>
  <c r="C27" i="2" s="1"/>
  <c r="G26" i="2"/>
  <c r="M26" i="2" l="1"/>
  <c r="F28" i="2"/>
  <c r="H27" i="2"/>
  <c r="I27" i="2" s="1"/>
  <c r="K27" i="2"/>
  <c r="D27" i="2"/>
  <c r="C28" i="2" s="1"/>
  <c r="G27" i="2"/>
  <c r="M27" i="2" l="1"/>
  <c r="F29" i="2"/>
  <c r="H28" i="2"/>
  <c r="I28" i="2" s="1"/>
  <c r="K28" i="2"/>
  <c r="D28" i="2"/>
  <c r="C29" i="2" s="1"/>
  <c r="G28" i="2"/>
  <c r="M28" i="2" l="1"/>
  <c r="F30" i="2"/>
  <c r="H29" i="2"/>
  <c r="I29" i="2" s="1"/>
  <c r="K29" i="2"/>
  <c r="D29" i="2"/>
  <c r="C30" i="2" s="1"/>
  <c r="G29" i="2"/>
  <c r="M29" i="2" l="1"/>
  <c r="F31" i="2"/>
  <c r="H30" i="2"/>
  <c r="I30" i="2" s="1"/>
  <c r="K30" i="2"/>
  <c r="D30" i="2"/>
  <c r="C31" i="2" s="1"/>
  <c r="G30" i="2"/>
  <c r="M30" i="2" l="1"/>
  <c r="F32" i="2"/>
  <c r="H31" i="2"/>
  <c r="I31" i="2" s="1"/>
  <c r="K31" i="2"/>
  <c r="D31" i="2"/>
  <c r="C32" i="2" s="1"/>
  <c r="G31" i="2"/>
  <c r="M31" i="2" l="1"/>
  <c r="F33" i="2"/>
  <c r="H32" i="2"/>
  <c r="I32" i="2" s="1"/>
  <c r="K32" i="2"/>
  <c r="D32" i="2"/>
  <c r="C33" i="2" s="1"/>
  <c r="G32" i="2"/>
  <c r="M32" i="2" l="1"/>
  <c r="F34" i="2"/>
  <c r="H33" i="2"/>
  <c r="I33" i="2" s="1"/>
  <c r="K33" i="2"/>
  <c r="D33" i="2"/>
  <c r="C34" i="2" s="1"/>
  <c r="G33" i="2"/>
  <c r="M33" i="2" l="1"/>
  <c r="F35" i="2"/>
  <c r="H34" i="2"/>
  <c r="I34" i="2" s="1"/>
  <c r="K34" i="2"/>
  <c r="D34" i="2"/>
  <c r="C35" i="2" s="1"/>
  <c r="G34" i="2"/>
  <c r="M34" i="2" l="1"/>
  <c r="F36" i="2"/>
  <c r="H35" i="2"/>
  <c r="I35" i="2" s="1"/>
  <c r="K35" i="2"/>
  <c r="D35" i="2"/>
  <c r="C36" i="2" s="1"/>
  <c r="G35" i="2"/>
  <c r="M35" i="2" l="1"/>
  <c r="F37" i="2"/>
  <c r="H36" i="2"/>
  <c r="I36" i="2" s="1"/>
  <c r="K36" i="2"/>
  <c r="D36" i="2"/>
  <c r="C37" i="2" s="1"/>
  <c r="G36" i="2"/>
  <c r="M36" i="2" l="1"/>
  <c r="F38" i="2"/>
  <c r="H37" i="2"/>
  <c r="I37" i="2" s="1"/>
  <c r="K37" i="2"/>
  <c r="D37" i="2"/>
  <c r="C38" i="2" s="1"/>
  <c r="G37" i="2"/>
  <c r="M37" i="2" l="1"/>
  <c r="F39" i="2"/>
  <c r="H38" i="2"/>
  <c r="I38" i="2" s="1"/>
  <c r="K38" i="2"/>
  <c r="D38" i="2"/>
  <c r="C39" i="2" s="1"/>
  <c r="G38" i="2"/>
  <c r="M38" i="2" l="1"/>
  <c r="F40" i="2"/>
  <c r="H39" i="2"/>
  <c r="I39" i="2" s="1"/>
  <c r="K39" i="2"/>
  <c r="D39" i="2"/>
  <c r="C40" i="2" s="1"/>
  <c r="G39" i="2"/>
  <c r="M39" i="2" l="1"/>
  <c r="F41" i="2"/>
  <c r="H40" i="2"/>
  <c r="I40" i="2" s="1"/>
  <c r="K40" i="2"/>
  <c r="D40" i="2"/>
  <c r="C41" i="2" s="1"/>
  <c r="G40" i="2"/>
  <c r="M40" i="2" l="1"/>
  <c r="F42" i="2"/>
  <c r="H41" i="2"/>
  <c r="I41" i="2" s="1"/>
  <c r="K41" i="2"/>
  <c r="D41" i="2"/>
  <c r="C42" i="2" s="1"/>
  <c r="G41" i="2"/>
  <c r="M41" i="2" l="1"/>
  <c r="F43" i="2"/>
  <c r="H42" i="2"/>
  <c r="I42" i="2" s="1"/>
  <c r="K42" i="2"/>
  <c r="D42" i="2"/>
  <c r="C43" i="2" s="1"/>
  <c r="G42" i="2"/>
  <c r="M42" i="2" l="1"/>
  <c r="F44" i="2"/>
  <c r="H43" i="2"/>
  <c r="I43" i="2" s="1"/>
  <c r="K43" i="2"/>
  <c r="D43" i="2"/>
  <c r="C44" i="2" s="1"/>
  <c r="G43" i="2"/>
  <c r="M43" i="2" l="1"/>
  <c r="F45" i="2"/>
  <c r="H44" i="2"/>
  <c r="I44" i="2" s="1"/>
  <c r="K44" i="2"/>
  <c r="D44" i="2"/>
  <c r="C45" i="2" s="1"/>
  <c r="G44" i="2"/>
  <c r="M44" i="2" l="1"/>
  <c r="F46" i="2"/>
  <c r="H45" i="2"/>
  <c r="I45" i="2" s="1"/>
  <c r="K45" i="2"/>
  <c r="D45" i="2"/>
  <c r="C46" i="2" s="1"/>
  <c r="G45" i="2"/>
  <c r="M45" i="2" l="1"/>
  <c r="F47" i="2"/>
  <c r="H46" i="2"/>
  <c r="I46" i="2" s="1"/>
  <c r="K46" i="2"/>
  <c r="D46" i="2"/>
  <c r="C47" i="2" s="1"/>
  <c r="G46" i="2"/>
  <c r="M46" i="2" l="1"/>
  <c r="F48" i="2"/>
  <c r="H47" i="2"/>
  <c r="I47" i="2" s="1"/>
  <c r="K47" i="2"/>
  <c r="D47" i="2"/>
  <c r="C48" i="2" s="1"/>
  <c r="G47" i="2"/>
  <c r="M47" i="2" l="1"/>
  <c r="F49" i="2"/>
  <c r="H48" i="2"/>
  <c r="I48" i="2" s="1"/>
  <c r="K48" i="2"/>
  <c r="D48" i="2"/>
  <c r="C49" i="2" s="1"/>
  <c r="G48" i="2"/>
  <c r="M48" i="2" l="1"/>
  <c r="K49" i="2"/>
  <c r="H49" i="2"/>
  <c r="D49" i="2"/>
  <c r="G49" i="2"/>
  <c r="I49" i="2" s="1"/>
  <c r="C11" i="2" l="1"/>
  <c r="M49" i="2"/>
  <c r="C12" i="2" s="1"/>
</calcChain>
</file>

<file path=xl/sharedStrings.xml><?xml version="1.0" encoding="utf-8"?>
<sst xmlns="http://schemas.openxmlformats.org/spreadsheetml/2006/main" count="53" uniqueCount="38">
  <si>
    <t>Annual mortgage rate</t>
  </si>
  <si>
    <t>Loan length</t>
  </si>
  <si>
    <t>years</t>
  </si>
  <si>
    <t>%</t>
  </si>
  <si>
    <t>Home cost</t>
  </si>
  <si>
    <t>USD</t>
  </si>
  <si>
    <t>Down payment</t>
  </si>
  <si>
    <t>Units</t>
  </si>
  <si>
    <t>Value</t>
  </si>
  <si>
    <t>Notes</t>
  </si>
  <si>
    <t>Year</t>
  </si>
  <si>
    <t>Outstanding amount</t>
  </si>
  <si>
    <t>Interest</t>
  </si>
  <si>
    <t>Total value</t>
  </si>
  <si>
    <t>Total equity</t>
  </si>
  <si>
    <t>Cash flow</t>
  </si>
  <si>
    <t>Auto calculated</t>
  </si>
  <si>
    <t>Ownership</t>
  </si>
  <si>
    <t>Rental</t>
  </si>
  <si>
    <r>
      <t>Rental yield</t>
    </r>
    <r>
      <rPr>
        <sz val="12"/>
        <color theme="1"/>
        <rFont val="Calibri"/>
        <family val="2"/>
        <scheme val="minor"/>
      </rPr>
      <t>, rate</t>
    </r>
  </si>
  <si>
    <r>
      <t>Home value growth</t>
    </r>
    <r>
      <rPr>
        <sz val="12"/>
        <color theme="1"/>
        <rFont val="Calibri"/>
        <family val="2"/>
        <scheme val="minor"/>
      </rPr>
      <t>, rate</t>
    </r>
  </si>
  <si>
    <t>Annual payments</t>
  </si>
  <si>
    <t>Incremental cash flow</t>
  </si>
  <si>
    <t>Difference</t>
  </si>
  <si>
    <t>30-year absolute return</t>
  </si>
  <si>
    <t>Closing cost</t>
  </si>
  <si>
    <t>30-year net return</t>
  </si>
  <si>
    <t>Parameters</t>
  </si>
  <si>
    <t>Exit year</t>
  </si>
  <si>
    <t>IRR</t>
  </si>
  <si>
    <t>Scenario A</t>
  </si>
  <si>
    <t>Implied rent</t>
  </si>
  <si>
    <t>Initial payment per month</t>
  </si>
  <si>
    <t>Initial rent per month</t>
  </si>
  <si>
    <t>Cash return</t>
  </si>
  <si>
    <t>Mortgage payment</t>
  </si>
  <si>
    <t>Other cash expenses</t>
  </si>
  <si>
    <t>Maintenance, HOA, Taxes,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</si>
</sst>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  <numFmt numFmtId="175" formatCode="0.0"/>
    <numFmt numFmtId="176" formatCode="0.0%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3" fillId="4" borderId="4" xfId="0" applyFont="1" applyFill="1" applyBorder="1"/>
    <xf numFmtId="0" fontId="0" fillId="4" borderId="0" xfId="0" applyFill="1" applyBorder="1"/>
    <xf numFmtId="0" fontId="0" fillId="4" borderId="5" xfId="0" applyFill="1" applyBorder="1"/>
    <xf numFmtId="165" fontId="0" fillId="4" borderId="0" xfId="1" applyNumberFormat="1" applyFont="1" applyFill="1" applyBorder="1"/>
    <xf numFmtId="0" fontId="3" fillId="2" borderId="6" xfId="0" applyFont="1" applyFill="1" applyBorder="1"/>
    <xf numFmtId="0" fontId="0" fillId="2" borderId="8" xfId="0" applyFill="1" applyBorder="1"/>
    <xf numFmtId="0" fontId="0" fillId="2" borderId="0" xfId="0" applyFill="1" applyBorder="1"/>
    <xf numFmtId="0" fontId="0" fillId="2" borderId="7" xfId="0" applyFill="1" applyBorder="1"/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0" xfId="0" applyFill="1" applyBorder="1"/>
    <xf numFmtId="0" fontId="3" fillId="2" borderId="4" xfId="0" applyFont="1" applyFill="1" applyBorder="1"/>
    <xf numFmtId="0" fontId="0" fillId="2" borderId="5" xfId="0" applyFill="1" applyBorder="1"/>
    <xf numFmtId="175" fontId="0" fillId="2" borderId="0" xfId="0" applyNumberFormat="1" applyFill="1" applyBorder="1"/>
    <xf numFmtId="0" fontId="4" fillId="5" borderId="0" xfId="0" applyFont="1" applyFill="1" applyBorder="1" applyAlignment="1">
      <alignment horizontal="left"/>
    </xf>
    <xf numFmtId="165" fontId="0" fillId="0" borderId="0" xfId="0" applyNumberFormat="1" applyFont="1" applyFill="1" applyBorder="1" applyAlignment="1">
      <alignment horizontal="left"/>
    </xf>
    <xf numFmtId="44" fontId="0" fillId="0" borderId="0" xfId="0" applyNumberFormat="1"/>
    <xf numFmtId="175" fontId="0" fillId="4" borderId="0" xfId="0" applyNumberFormat="1" applyFill="1" applyBorder="1"/>
    <xf numFmtId="44" fontId="0" fillId="2" borderId="0" xfId="1" applyFont="1" applyFill="1" applyBorder="1"/>
    <xf numFmtId="44" fontId="0" fillId="2" borderId="7" xfId="1" applyFont="1" applyFill="1" applyBorder="1"/>
    <xf numFmtId="0" fontId="0" fillId="0" borderId="0" xfId="0" applyFill="1"/>
    <xf numFmtId="44" fontId="0" fillId="0" borderId="0" xfId="0" applyNumberFormat="1" applyFill="1"/>
    <xf numFmtId="0" fontId="2" fillId="0" borderId="0" xfId="0" applyFont="1" applyFill="1" applyBorder="1"/>
    <xf numFmtId="0" fontId="2" fillId="6" borderId="1" xfId="0" applyFont="1" applyFill="1" applyBorder="1"/>
    <xf numFmtId="0" fontId="2" fillId="6" borderId="3" xfId="0" applyFont="1" applyFill="1" applyBorder="1"/>
    <xf numFmtId="0" fontId="2" fillId="6" borderId="5" xfId="0" applyFont="1" applyFill="1" applyBorder="1"/>
    <xf numFmtId="0" fontId="4" fillId="5" borderId="5" xfId="0" applyFont="1" applyFill="1" applyBorder="1" applyAlignment="1">
      <alignment horizontal="left"/>
    </xf>
    <xf numFmtId="0" fontId="0" fillId="2" borderId="4" xfId="0" applyFill="1" applyBorder="1"/>
    <xf numFmtId="0" fontId="0" fillId="2" borderId="6" xfId="0" applyFill="1" applyBorder="1"/>
    <xf numFmtId="0" fontId="2" fillId="6" borderId="2" xfId="0" applyFont="1" applyFill="1" applyBorder="1"/>
    <xf numFmtId="0" fontId="0" fillId="6" borderId="2" xfId="0" applyFill="1" applyBorder="1"/>
    <xf numFmtId="0" fontId="4" fillId="5" borderId="4" xfId="0" applyFont="1" applyFill="1" applyBorder="1" applyAlignment="1">
      <alignment horizontal="left"/>
    </xf>
    <xf numFmtId="0" fontId="0" fillId="4" borderId="4" xfId="0" applyNumberFormat="1" applyFont="1" applyFill="1" applyBorder="1" applyAlignment="1">
      <alignment horizontal="right"/>
    </xf>
    <xf numFmtId="0" fontId="2" fillId="4" borderId="0" xfId="0" applyFont="1" applyFill="1" applyBorder="1" applyAlignment="1">
      <alignment horizontal="left"/>
    </xf>
    <xf numFmtId="165" fontId="0" fillId="4" borderId="0" xfId="0" applyNumberFormat="1" applyFont="1" applyFill="1" applyBorder="1" applyAlignment="1">
      <alignment horizontal="left"/>
    </xf>
    <xf numFmtId="0" fontId="0" fillId="4" borderId="0" xfId="0" applyFont="1" applyFill="1" applyBorder="1"/>
    <xf numFmtId="165" fontId="0" fillId="4" borderId="5" xfId="0" applyNumberFormat="1" applyFont="1" applyFill="1" applyBorder="1" applyAlignment="1">
      <alignment horizontal="left"/>
    </xf>
    <xf numFmtId="0" fontId="0" fillId="4" borderId="4" xfId="0" applyFill="1" applyBorder="1"/>
    <xf numFmtId="165" fontId="0" fillId="4" borderId="0" xfId="0" applyNumberFormat="1" applyFill="1" applyBorder="1"/>
    <xf numFmtId="0" fontId="0" fillId="4" borderId="6" xfId="0" applyFill="1" applyBorder="1"/>
    <xf numFmtId="165" fontId="0" fillId="4" borderId="7" xfId="0" applyNumberFormat="1" applyFill="1" applyBorder="1"/>
    <xf numFmtId="165" fontId="0" fillId="4" borderId="7" xfId="1" applyNumberFormat="1" applyFont="1" applyFill="1" applyBorder="1"/>
    <xf numFmtId="0" fontId="0" fillId="4" borderId="7" xfId="0" applyFill="1" applyBorder="1"/>
    <xf numFmtId="165" fontId="0" fillId="4" borderId="8" xfId="0" applyNumberFormat="1" applyFont="1" applyFill="1" applyBorder="1" applyAlignment="1">
      <alignment horizontal="left"/>
    </xf>
    <xf numFmtId="0" fontId="0" fillId="4" borderId="2" xfId="0" applyFill="1" applyBorder="1"/>
    <xf numFmtId="0" fontId="0" fillId="4" borderId="1" xfId="0" applyFill="1" applyBorder="1"/>
    <xf numFmtId="176" fontId="0" fillId="4" borderId="5" xfId="0" applyNumberFormat="1" applyFill="1" applyBorder="1"/>
    <xf numFmtId="44" fontId="0" fillId="4" borderId="5" xfId="0" applyNumberFormat="1" applyFill="1" applyBorder="1"/>
    <xf numFmtId="165" fontId="0" fillId="4" borderId="5" xfId="0" applyNumberFormat="1" applyFill="1" applyBorder="1"/>
    <xf numFmtId="165" fontId="0" fillId="4" borderId="5" xfId="1" applyNumberFormat="1" applyFont="1" applyFill="1" applyBorder="1"/>
    <xf numFmtId="165" fontId="0" fillId="4" borderId="8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73F1-3753-6140-B3EB-A608F913AB60}">
  <dimension ref="B1:P49"/>
  <sheetViews>
    <sheetView tabSelected="1" workbookViewId="0">
      <selection activeCell="D13" sqref="D13"/>
    </sheetView>
  </sheetViews>
  <sheetFormatPr baseColWidth="10" defaultRowHeight="16"/>
  <cols>
    <col min="2" max="2" width="22.1640625" bestFit="1" customWidth="1"/>
    <col min="3" max="3" width="18.33203125" bestFit="1" customWidth="1"/>
    <col min="4" max="4" width="18.6640625" bestFit="1" customWidth="1"/>
    <col min="5" max="5" width="17" bestFit="1" customWidth="1"/>
    <col min="6" max="6" width="11.5" bestFit="1" customWidth="1"/>
    <col min="7" max="7" width="12.6640625" bestFit="1" customWidth="1"/>
    <col min="8" max="8" width="18.1640625" bestFit="1" customWidth="1"/>
    <col min="9" max="9" width="11.5" customWidth="1"/>
    <col min="10" max="10" width="0.83203125" customWidth="1"/>
    <col min="12" max="12" width="0.83203125" customWidth="1"/>
    <col min="13" max="13" width="19.5" bestFit="1" customWidth="1"/>
    <col min="14" max="14" width="1" style="24" customWidth="1"/>
    <col min="15" max="15" width="23" bestFit="1" customWidth="1"/>
    <col min="16" max="16" width="19.5" bestFit="1" customWidth="1"/>
  </cols>
  <sheetData>
    <row r="1" spans="2:16" ht="17" thickBot="1"/>
    <row r="2" spans="2:16">
      <c r="B2" s="9" t="s">
        <v>27</v>
      </c>
      <c r="C2" s="10" t="s">
        <v>8</v>
      </c>
      <c r="D2" s="10" t="s">
        <v>7</v>
      </c>
      <c r="E2" s="11" t="s">
        <v>9</v>
      </c>
      <c r="H2" s="12"/>
      <c r="O2" s="27"/>
      <c r="P2" s="28" t="s">
        <v>30</v>
      </c>
    </row>
    <row r="3" spans="2:16">
      <c r="B3" s="1" t="s">
        <v>0</v>
      </c>
      <c r="C3" s="2">
        <v>3.7</v>
      </c>
      <c r="D3" s="2" t="s">
        <v>3</v>
      </c>
      <c r="E3" s="3"/>
      <c r="H3" s="14"/>
      <c r="O3" s="1" t="s">
        <v>28</v>
      </c>
      <c r="P3" s="3">
        <v>3</v>
      </c>
    </row>
    <row r="4" spans="2:16">
      <c r="B4" s="1" t="s">
        <v>1</v>
      </c>
      <c r="C4" s="2">
        <v>30</v>
      </c>
      <c r="D4" s="2" t="s">
        <v>2</v>
      </c>
      <c r="E4" s="3"/>
      <c r="H4" s="14"/>
      <c r="O4" s="1" t="s">
        <v>29</v>
      </c>
      <c r="P4" s="50">
        <f>IRR(P19:P49)</f>
        <v>-4.6006292564773066E-3</v>
      </c>
    </row>
    <row r="5" spans="2:16">
      <c r="B5" s="1" t="s">
        <v>4</v>
      </c>
      <c r="C5" s="4">
        <v>1000000</v>
      </c>
      <c r="D5" s="2" t="s">
        <v>5</v>
      </c>
      <c r="E5" s="3"/>
      <c r="H5" s="14"/>
      <c r="O5" s="1" t="s">
        <v>32</v>
      </c>
      <c r="P5" s="51">
        <f>C14/12</f>
        <v>3716.1503316141057</v>
      </c>
    </row>
    <row r="6" spans="2:16">
      <c r="B6" s="1" t="s">
        <v>6</v>
      </c>
      <c r="C6" s="21">
        <v>20</v>
      </c>
      <c r="D6" s="2" t="s">
        <v>3</v>
      </c>
      <c r="E6" s="3"/>
      <c r="H6" s="14"/>
      <c r="O6" s="1" t="s">
        <v>33</v>
      </c>
      <c r="P6" s="51">
        <f>C13/12</f>
        <v>3500</v>
      </c>
    </row>
    <row r="7" spans="2:16">
      <c r="B7" s="1" t="s">
        <v>25</v>
      </c>
      <c r="C7" s="21">
        <v>5</v>
      </c>
      <c r="D7" s="2" t="s">
        <v>3</v>
      </c>
      <c r="E7" s="3"/>
      <c r="H7" s="14"/>
      <c r="O7" s="1" t="s">
        <v>34</v>
      </c>
      <c r="P7" s="52">
        <f>SUM(P19:P49)</f>
        <v>-3605.2292527634418</v>
      </c>
    </row>
    <row r="8" spans="2:16">
      <c r="B8" s="1" t="s">
        <v>37</v>
      </c>
      <c r="C8" s="21">
        <v>1</v>
      </c>
      <c r="D8" s="2" t="s">
        <v>3</v>
      </c>
      <c r="E8" s="3"/>
      <c r="H8" s="14"/>
      <c r="O8" s="41"/>
      <c r="P8" s="3"/>
    </row>
    <row r="9" spans="2:16">
      <c r="B9" s="1" t="s">
        <v>20</v>
      </c>
      <c r="C9" s="21">
        <v>2</v>
      </c>
      <c r="D9" s="2" t="s">
        <v>3</v>
      </c>
      <c r="E9" s="3"/>
      <c r="H9" s="14"/>
      <c r="O9" s="41"/>
      <c r="P9" s="3"/>
    </row>
    <row r="10" spans="2:16">
      <c r="B10" s="1" t="s">
        <v>19</v>
      </c>
      <c r="C10" s="2">
        <v>4.2</v>
      </c>
      <c r="D10" s="2" t="s">
        <v>3</v>
      </c>
      <c r="E10" s="3"/>
      <c r="H10" s="14"/>
      <c r="N10" s="25"/>
      <c r="O10" s="41"/>
      <c r="P10" s="3"/>
    </row>
    <row r="11" spans="2:16">
      <c r="B11" s="15" t="s">
        <v>24</v>
      </c>
      <c r="C11" s="17">
        <f>100*IRR(I19:I49)</f>
        <v>-0.65947095895730889</v>
      </c>
      <c r="D11" s="7" t="s">
        <v>3</v>
      </c>
      <c r="E11" s="16" t="s">
        <v>16</v>
      </c>
      <c r="H11" s="14"/>
      <c r="M11" s="20"/>
      <c r="O11" s="41"/>
      <c r="P11" s="3"/>
    </row>
    <row r="12" spans="2:16">
      <c r="B12" s="15" t="s">
        <v>26</v>
      </c>
      <c r="C12" s="17">
        <f>IRR(M19:M49)*100</f>
        <v>5.9598600638235633</v>
      </c>
      <c r="D12" s="7" t="s">
        <v>3</v>
      </c>
      <c r="E12" s="16" t="s">
        <v>16</v>
      </c>
      <c r="H12" s="14"/>
      <c r="O12" s="41"/>
      <c r="P12" s="3"/>
    </row>
    <row r="13" spans="2:16">
      <c r="B13" s="15" t="s">
        <v>31</v>
      </c>
      <c r="C13" s="22">
        <f>C10*C5/100</f>
        <v>42000</v>
      </c>
      <c r="D13" s="7" t="s">
        <v>5</v>
      </c>
      <c r="E13" s="16" t="s">
        <v>16</v>
      </c>
      <c r="H13" s="14"/>
      <c r="O13" s="41"/>
      <c r="P13" s="3"/>
    </row>
    <row r="14" spans="2:16" ht="17" thickBot="1">
      <c r="B14" s="5" t="s">
        <v>21</v>
      </c>
      <c r="C14" s="23">
        <f>-PMT(C3/100,C4,C5*(1-(C6/100)))</f>
        <v>44593.803979369266</v>
      </c>
      <c r="D14" s="8" t="s">
        <v>5</v>
      </c>
      <c r="E14" s="6" t="s">
        <v>16</v>
      </c>
      <c r="H14" s="14"/>
      <c r="O14" s="41"/>
      <c r="P14" s="3"/>
    </row>
    <row r="15" spans="2:16">
      <c r="O15" s="41"/>
      <c r="P15" s="3"/>
    </row>
    <row r="16" spans="2:16" ht="17" thickBot="1">
      <c r="N16" s="26"/>
      <c r="O16" s="41"/>
      <c r="P16" s="3"/>
    </row>
    <row r="17" spans="2:16">
      <c r="B17" s="49"/>
      <c r="C17" s="33" t="s">
        <v>17</v>
      </c>
      <c r="D17" s="34"/>
      <c r="E17" s="34"/>
      <c r="F17" s="34"/>
      <c r="G17" s="34"/>
      <c r="H17" s="34"/>
      <c r="I17" s="34"/>
      <c r="J17" s="48"/>
      <c r="K17" s="33" t="s">
        <v>18</v>
      </c>
      <c r="L17" s="48"/>
      <c r="M17" s="28" t="s">
        <v>23</v>
      </c>
      <c r="N17" s="13"/>
      <c r="O17" s="31"/>
      <c r="P17" s="29" t="s">
        <v>30</v>
      </c>
    </row>
    <row r="18" spans="2:16">
      <c r="B18" s="35" t="s">
        <v>10</v>
      </c>
      <c r="C18" s="18" t="s">
        <v>11</v>
      </c>
      <c r="D18" s="18" t="s">
        <v>12</v>
      </c>
      <c r="E18" s="18" t="s">
        <v>35</v>
      </c>
      <c r="F18" s="18" t="s">
        <v>13</v>
      </c>
      <c r="G18" s="18" t="s">
        <v>14</v>
      </c>
      <c r="H18" s="18" t="s">
        <v>36</v>
      </c>
      <c r="I18" s="18" t="s">
        <v>15</v>
      </c>
      <c r="J18" s="2"/>
      <c r="K18" s="18" t="s">
        <v>15</v>
      </c>
      <c r="L18" s="2"/>
      <c r="M18" s="30" t="s">
        <v>22</v>
      </c>
      <c r="N18" s="19"/>
      <c r="O18" s="31"/>
      <c r="P18" s="30" t="s">
        <v>22</v>
      </c>
    </row>
    <row r="19" spans="2:16">
      <c r="B19" s="36">
        <v>0</v>
      </c>
      <c r="C19" s="37"/>
      <c r="D19" s="37"/>
      <c r="E19" s="38">
        <f>(C7+C6)*C5/100</f>
        <v>250000</v>
      </c>
      <c r="F19" s="37"/>
      <c r="G19" s="37"/>
      <c r="H19" s="38"/>
      <c r="I19" s="38">
        <f>-E19</f>
        <v>-250000</v>
      </c>
      <c r="J19" s="39"/>
      <c r="K19" s="38">
        <v>0</v>
      </c>
      <c r="L19" s="2"/>
      <c r="M19" s="40">
        <f>I19-K19</f>
        <v>-250000</v>
      </c>
      <c r="N19" s="19"/>
      <c r="O19" s="31"/>
      <c r="P19" s="53">
        <f>IF($P$3=B19,G19,IF(B19&gt;$P$3,0,M19))</f>
        <v>-250000</v>
      </c>
    </row>
    <row r="20" spans="2:16">
      <c r="B20" s="41">
        <v>1</v>
      </c>
      <c r="C20" s="4">
        <f>$C$5*(100-$C$6)/100</f>
        <v>800000</v>
      </c>
      <c r="D20" s="4">
        <f>C20*($C$3/100)</f>
        <v>29600.000000000004</v>
      </c>
      <c r="E20" s="4">
        <f>$C$14</f>
        <v>44593.803979369266</v>
      </c>
      <c r="F20" s="42">
        <f>C5</f>
        <v>1000000</v>
      </c>
      <c r="G20" s="42">
        <f>F20-C20</f>
        <v>200000</v>
      </c>
      <c r="H20" s="4">
        <f>-F20*$C$8/100</f>
        <v>-10000</v>
      </c>
      <c r="I20" s="42">
        <f>-E20+H20</f>
        <v>-54593.803979369266</v>
      </c>
      <c r="J20" s="42">
        <f>-F20+I20</f>
        <v>-1054593.8039793693</v>
      </c>
      <c r="K20" s="42">
        <f>-F20*$C$10/100</f>
        <v>-42000</v>
      </c>
      <c r="L20" s="2"/>
      <c r="M20" s="40">
        <f>I20-K20</f>
        <v>-12593.803979369266</v>
      </c>
      <c r="N20" s="19"/>
      <c r="O20" s="31"/>
      <c r="P20" s="53">
        <f>IF($P$3=B20,G20,IF(B20&gt;$P$3,0,M20))</f>
        <v>-12593.803979369266</v>
      </c>
    </row>
    <row r="21" spans="2:16">
      <c r="B21" s="41">
        <f>B20+1</f>
        <v>2</v>
      </c>
      <c r="C21" s="42">
        <f>C20+D20-E20</f>
        <v>785006.19602063077</v>
      </c>
      <c r="D21" s="4">
        <f t="shared" ref="D21:D49" si="0">C21*($C$3/100)</f>
        <v>29045.229252763344</v>
      </c>
      <c r="E21" s="4">
        <f>$C$14</f>
        <v>44593.803979369266</v>
      </c>
      <c r="F21" s="4">
        <f>F20*(1+($C$9/100))</f>
        <v>1020000</v>
      </c>
      <c r="G21" s="42">
        <f>F21-C21</f>
        <v>234993.80397936923</v>
      </c>
      <c r="H21" s="4">
        <f t="shared" ref="H21:H49" si="1">-F21*$C$8/100</f>
        <v>-10200</v>
      </c>
      <c r="I21" s="42">
        <f t="shared" ref="I21:I49" si="2">-E21+H21</f>
        <v>-54793.803979369266</v>
      </c>
      <c r="J21" s="2"/>
      <c r="K21" s="42">
        <f>-F21*$C$10/100</f>
        <v>-42840</v>
      </c>
      <c r="L21" s="2"/>
      <c r="M21" s="40">
        <f>I21-K21</f>
        <v>-11953.803979369266</v>
      </c>
      <c r="N21" s="19"/>
      <c r="O21" s="31"/>
      <c r="P21" s="53">
        <f>IF($P$3=B21,G21,IF(B21&gt;$P$3,0,M21))</f>
        <v>-11953.803979369266</v>
      </c>
    </row>
    <row r="22" spans="2:16">
      <c r="B22" s="41">
        <f t="shared" ref="B22:B49" si="3">B21+1</f>
        <v>3</v>
      </c>
      <c r="C22" s="42">
        <f t="shared" ref="C22:C49" si="4">C21+D21-E21</f>
        <v>769457.62129402487</v>
      </c>
      <c r="D22" s="4">
        <f t="shared" si="0"/>
        <v>28469.931987878925</v>
      </c>
      <c r="E22" s="4">
        <f>$C$14</f>
        <v>44593.803979369266</v>
      </c>
      <c r="F22" s="4">
        <f t="shared" ref="F22:F49" si="5">F21*(1+($C$9/100))</f>
        <v>1040400</v>
      </c>
      <c r="G22" s="42">
        <f>F22-C22</f>
        <v>270942.37870597513</v>
      </c>
      <c r="H22" s="4">
        <f t="shared" si="1"/>
        <v>-10404</v>
      </c>
      <c r="I22" s="42">
        <f t="shared" si="2"/>
        <v>-54997.803979369266</v>
      </c>
      <c r="J22" s="2"/>
      <c r="K22" s="42">
        <f>-F22*$C$10/100</f>
        <v>-43696.800000000003</v>
      </c>
      <c r="L22" s="2"/>
      <c r="M22" s="40">
        <f t="shared" ref="M22:M49" si="6">I22-K22</f>
        <v>-11301.003979369263</v>
      </c>
      <c r="N22" s="19"/>
      <c r="O22" s="31"/>
      <c r="P22" s="53">
        <f>IF($P$3=B22,G22,IF(B22&gt;$P$3,0,M22))</f>
        <v>270942.37870597513</v>
      </c>
    </row>
    <row r="23" spans="2:16">
      <c r="B23" s="41">
        <f t="shared" si="3"/>
        <v>4</v>
      </c>
      <c r="C23" s="42">
        <f t="shared" si="4"/>
        <v>753333.7493025345</v>
      </c>
      <c r="D23" s="4">
        <f t="shared" si="0"/>
        <v>27873.34872419378</v>
      </c>
      <c r="E23" s="4">
        <f>$C$14</f>
        <v>44593.803979369266</v>
      </c>
      <c r="F23" s="4">
        <f t="shared" si="5"/>
        <v>1061208</v>
      </c>
      <c r="G23" s="42">
        <f>F23-C23</f>
        <v>307874.2506974655</v>
      </c>
      <c r="H23" s="4">
        <f t="shared" si="1"/>
        <v>-10612.08</v>
      </c>
      <c r="I23" s="42">
        <f t="shared" si="2"/>
        <v>-55205.883979369268</v>
      </c>
      <c r="J23" s="2"/>
      <c r="K23" s="42">
        <f>-F23*$C$10/100</f>
        <v>-44570.736000000004</v>
      </c>
      <c r="L23" s="2"/>
      <c r="M23" s="40">
        <f t="shared" si="6"/>
        <v>-10635.147979369263</v>
      </c>
      <c r="N23" s="19"/>
      <c r="O23" s="31"/>
      <c r="P23" s="53">
        <f>IF($P$3=B23,G23,IF(B23&gt;$P$3,0,M23))</f>
        <v>0</v>
      </c>
    </row>
    <row r="24" spans="2:16">
      <c r="B24" s="41">
        <f t="shared" si="3"/>
        <v>5</v>
      </c>
      <c r="C24" s="42">
        <f t="shared" si="4"/>
        <v>736613.29404735903</v>
      </c>
      <c r="D24" s="4">
        <f t="shared" si="0"/>
        <v>27254.691879752289</v>
      </c>
      <c r="E24" s="4">
        <f>$C$14</f>
        <v>44593.803979369266</v>
      </c>
      <c r="F24" s="4">
        <f t="shared" si="5"/>
        <v>1082432.1599999999</v>
      </c>
      <c r="G24" s="42">
        <f>F24-C24</f>
        <v>345818.86595264089</v>
      </c>
      <c r="H24" s="4">
        <f t="shared" si="1"/>
        <v>-10824.321599999999</v>
      </c>
      <c r="I24" s="42">
        <f t="shared" si="2"/>
        <v>-55418.125579369269</v>
      </c>
      <c r="J24" s="2"/>
      <c r="K24" s="42">
        <f>-F24*$C$10/100</f>
        <v>-45462.150719999998</v>
      </c>
      <c r="L24" s="2"/>
      <c r="M24" s="40">
        <f t="shared" si="6"/>
        <v>-9955.9748593692711</v>
      </c>
      <c r="N24" s="19"/>
      <c r="O24" s="31"/>
      <c r="P24" s="53">
        <f>IF($P$3=B24,G24,IF(B24&gt;$P$3,0,M24))</f>
        <v>0</v>
      </c>
    </row>
    <row r="25" spans="2:16">
      <c r="B25" s="41">
        <f t="shared" si="3"/>
        <v>6</v>
      </c>
      <c r="C25" s="42">
        <f t="shared" si="4"/>
        <v>719274.18194774212</v>
      </c>
      <c r="D25" s="4">
        <f t="shared" si="0"/>
        <v>26613.144732066463</v>
      </c>
      <c r="E25" s="4">
        <f>$C$14</f>
        <v>44593.803979369266</v>
      </c>
      <c r="F25" s="4">
        <f t="shared" si="5"/>
        <v>1104080.8032</v>
      </c>
      <c r="G25" s="42">
        <f>F25-C25</f>
        <v>384806.62125225784</v>
      </c>
      <c r="H25" s="4">
        <f t="shared" si="1"/>
        <v>-11040.808031999999</v>
      </c>
      <c r="I25" s="42">
        <f t="shared" si="2"/>
        <v>-55634.612011369267</v>
      </c>
      <c r="J25" s="2"/>
      <c r="K25" s="42">
        <f>-F25*$C$10/100</f>
        <v>-46371.393734400001</v>
      </c>
      <c r="L25" s="2"/>
      <c r="M25" s="40">
        <f t="shared" si="6"/>
        <v>-9263.2182769692663</v>
      </c>
      <c r="N25" s="19"/>
      <c r="O25" s="31"/>
      <c r="P25" s="53">
        <f>IF($P$3=B25,G25,IF(B25&gt;$P$3,0,M25))</f>
        <v>0</v>
      </c>
    </row>
    <row r="26" spans="2:16">
      <c r="B26" s="41">
        <f t="shared" si="3"/>
        <v>7</v>
      </c>
      <c r="C26" s="42">
        <f t="shared" si="4"/>
        <v>701293.52270043932</v>
      </c>
      <c r="D26" s="4">
        <f t="shared" si="0"/>
        <v>25947.86033991626</v>
      </c>
      <c r="E26" s="4">
        <f>$C$14</f>
        <v>44593.803979369266</v>
      </c>
      <c r="F26" s="4">
        <f t="shared" si="5"/>
        <v>1126162.4192639999</v>
      </c>
      <c r="G26" s="42">
        <f>F26-C26</f>
        <v>424868.89656356059</v>
      </c>
      <c r="H26" s="4">
        <f t="shared" si="1"/>
        <v>-11261.62419264</v>
      </c>
      <c r="I26" s="42">
        <f t="shared" si="2"/>
        <v>-55855.428172009269</v>
      </c>
      <c r="J26" s="2"/>
      <c r="K26" s="42">
        <f>-F26*$C$10/100</f>
        <v>-47298.821609087994</v>
      </c>
      <c r="L26" s="2"/>
      <c r="M26" s="40">
        <f t="shared" si="6"/>
        <v>-8556.6065629212753</v>
      </c>
      <c r="N26" s="19"/>
      <c r="O26" s="31"/>
      <c r="P26" s="53">
        <f>IF($P$3=B26,G26,IF(B26&gt;$P$3,0,M26))</f>
        <v>0</v>
      </c>
    </row>
    <row r="27" spans="2:16">
      <c r="B27" s="41">
        <f t="shared" si="3"/>
        <v>8</v>
      </c>
      <c r="C27" s="42">
        <f t="shared" si="4"/>
        <v>682647.57906098641</v>
      </c>
      <c r="D27" s="4">
        <f t="shared" si="0"/>
        <v>25257.9604252565</v>
      </c>
      <c r="E27" s="4">
        <f>$C$14</f>
        <v>44593.803979369266</v>
      </c>
      <c r="F27" s="4">
        <f t="shared" si="5"/>
        <v>1148685.6676492798</v>
      </c>
      <c r="G27" s="42">
        <f>F27-C27</f>
        <v>466038.08858829341</v>
      </c>
      <c r="H27" s="4">
        <f t="shared" si="1"/>
        <v>-11486.856676492798</v>
      </c>
      <c r="I27" s="42">
        <f t="shared" si="2"/>
        <v>-56080.660655862062</v>
      </c>
      <c r="J27" s="2"/>
      <c r="K27" s="42">
        <f>-F27*$C$10/100</f>
        <v>-48244.798041269751</v>
      </c>
      <c r="L27" s="2"/>
      <c r="M27" s="40">
        <f t="shared" si="6"/>
        <v>-7835.8626145923117</v>
      </c>
      <c r="N27" s="19"/>
      <c r="O27" s="31"/>
      <c r="P27" s="53">
        <f>IF($P$3=B27,G27,IF(B27&gt;$P$3,0,M27))</f>
        <v>0</v>
      </c>
    </row>
    <row r="28" spans="2:16">
      <c r="B28" s="41">
        <f t="shared" si="3"/>
        <v>9</v>
      </c>
      <c r="C28" s="42">
        <f t="shared" si="4"/>
        <v>663311.73550687369</v>
      </c>
      <c r="D28" s="4">
        <f t="shared" si="0"/>
        <v>24542.53421375433</v>
      </c>
      <c r="E28" s="4">
        <f>$C$14</f>
        <v>44593.803979369266</v>
      </c>
      <c r="F28" s="4">
        <f t="shared" si="5"/>
        <v>1171659.3810022655</v>
      </c>
      <c r="G28" s="42">
        <f>F28-C28</f>
        <v>508347.6454953918</v>
      </c>
      <c r="H28" s="4">
        <f t="shared" si="1"/>
        <v>-11716.593810022656</v>
      </c>
      <c r="I28" s="42">
        <f t="shared" si="2"/>
        <v>-56310.397789391922</v>
      </c>
      <c r="J28" s="2"/>
      <c r="K28" s="42">
        <f>-F28*$C$10/100</f>
        <v>-49209.694002095152</v>
      </c>
      <c r="L28" s="2"/>
      <c r="M28" s="40">
        <f t="shared" si="6"/>
        <v>-7100.7037872967703</v>
      </c>
      <c r="N28" s="19"/>
      <c r="O28" s="31"/>
      <c r="P28" s="53">
        <f>IF($P$3=B28,G28,IF(B28&gt;$P$3,0,M28))</f>
        <v>0</v>
      </c>
    </row>
    <row r="29" spans="2:16">
      <c r="B29" s="41">
        <f t="shared" si="3"/>
        <v>10</v>
      </c>
      <c r="C29" s="42">
        <f t="shared" si="4"/>
        <v>643260.46574125881</v>
      </c>
      <c r="D29" s="4">
        <f t="shared" si="0"/>
        <v>23800.637232426579</v>
      </c>
      <c r="E29" s="4">
        <f>$C$14</f>
        <v>44593.803979369266</v>
      </c>
      <c r="F29" s="4">
        <f t="shared" si="5"/>
        <v>1195092.5686223109</v>
      </c>
      <c r="G29" s="42">
        <f>F29-C29</f>
        <v>551832.10288105207</v>
      </c>
      <c r="H29" s="4">
        <f t="shared" si="1"/>
        <v>-11950.925686223109</v>
      </c>
      <c r="I29" s="42">
        <f t="shared" si="2"/>
        <v>-56544.729665592371</v>
      </c>
      <c r="J29" s="2"/>
      <c r="K29" s="42">
        <f>-F29*$C$10/100</f>
        <v>-50193.88788213706</v>
      </c>
      <c r="L29" s="2"/>
      <c r="M29" s="40">
        <f t="shared" si="6"/>
        <v>-6350.8417834553111</v>
      </c>
      <c r="N29" s="19"/>
      <c r="O29" s="31"/>
      <c r="P29" s="53">
        <f>IF($P$3=B29,G29,IF(B29&gt;$P$3,0,M29))</f>
        <v>0</v>
      </c>
    </row>
    <row r="30" spans="2:16">
      <c r="B30" s="41">
        <f t="shared" si="3"/>
        <v>11</v>
      </c>
      <c r="C30" s="42">
        <f t="shared" si="4"/>
        <v>622467.29899431614</v>
      </c>
      <c r="D30" s="4">
        <f t="shared" si="0"/>
        <v>23031.2900627897</v>
      </c>
      <c r="E30" s="4">
        <f>$C$14</f>
        <v>44593.803979369266</v>
      </c>
      <c r="F30" s="4">
        <f t="shared" si="5"/>
        <v>1218994.419994757</v>
      </c>
      <c r="G30" s="42">
        <f>F30-C30</f>
        <v>596527.12100044091</v>
      </c>
      <c r="H30" s="4">
        <f t="shared" si="1"/>
        <v>-12189.944199947571</v>
      </c>
      <c r="I30" s="42">
        <f t="shared" si="2"/>
        <v>-56783.748179316841</v>
      </c>
      <c r="J30" s="2"/>
      <c r="K30" s="42">
        <f>-F30*$C$10/100</f>
        <v>-51197.765639779798</v>
      </c>
      <c r="L30" s="2"/>
      <c r="M30" s="40">
        <f t="shared" si="6"/>
        <v>-5585.9825395370426</v>
      </c>
      <c r="N30" s="19"/>
      <c r="O30" s="31"/>
      <c r="P30" s="53">
        <f>IF($P$3=B30,G30,IF(B30&gt;$P$3,0,M30))</f>
        <v>0</v>
      </c>
    </row>
    <row r="31" spans="2:16">
      <c r="B31" s="41">
        <f t="shared" si="3"/>
        <v>12</v>
      </c>
      <c r="C31" s="42">
        <f t="shared" si="4"/>
        <v>600904.7850777366</v>
      </c>
      <c r="D31" s="4">
        <f t="shared" si="0"/>
        <v>22233.477047876258</v>
      </c>
      <c r="E31" s="4">
        <f>$C$14</f>
        <v>44593.803979369266</v>
      </c>
      <c r="F31" s="4">
        <f t="shared" si="5"/>
        <v>1243374.3083946521</v>
      </c>
      <c r="G31" s="42">
        <f>F31-C31</f>
        <v>642469.5233169155</v>
      </c>
      <c r="H31" s="4">
        <f t="shared" si="1"/>
        <v>-12433.743083946521</v>
      </c>
      <c r="I31" s="42">
        <f t="shared" si="2"/>
        <v>-57027.547063315789</v>
      </c>
      <c r="J31" s="2"/>
      <c r="K31" s="42">
        <f>-F31*$C$10/100</f>
        <v>-52221.720952575393</v>
      </c>
      <c r="L31" s="2"/>
      <c r="M31" s="40">
        <f t="shared" si="6"/>
        <v>-4805.826110740396</v>
      </c>
      <c r="N31" s="19"/>
      <c r="O31" s="31"/>
      <c r="P31" s="53">
        <f>IF($P$3=B31,G31,IF(B31&gt;$P$3,0,M31))</f>
        <v>0</v>
      </c>
    </row>
    <row r="32" spans="2:16">
      <c r="B32" s="41">
        <f t="shared" si="3"/>
        <v>13</v>
      </c>
      <c r="C32" s="42">
        <f t="shared" si="4"/>
        <v>578544.45814624359</v>
      </c>
      <c r="D32" s="4">
        <f t="shared" si="0"/>
        <v>21406.144951411017</v>
      </c>
      <c r="E32" s="4">
        <f>$C$14</f>
        <v>44593.803979369266</v>
      </c>
      <c r="F32" s="4">
        <f t="shared" si="5"/>
        <v>1268241.7945625451</v>
      </c>
      <c r="G32" s="42">
        <f>F32-C32</f>
        <v>689697.33641630155</v>
      </c>
      <c r="H32" s="4">
        <f t="shared" si="1"/>
        <v>-12682.417945625451</v>
      </c>
      <c r="I32" s="42">
        <f t="shared" si="2"/>
        <v>-57276.221924994716</v>
      </c>
      <c r="J32" s="2"/>
      <c r="K32" s="42">
        <f>-F32*$C$10/100</f>
        <v>-53266.155371626897</v>
      </c>
      <c r="L32" s="2"/>
      <c r="M32" s="40">
        <f t="shared" si="6"/>
        <v>-4010.0665533678184</v>
      </c>
      <c r="N32" s="19"/>
      <c r="O32" s="31"/>
      <c r="P32" s="53">
        <f>IF($P$3=B32,G32,IF(B32&gt;$P$3,0,M32))</f>
        <v>0</v>
      </c>
    </row>
    <row r="33" spans="2:16">
      <c r="B33" s="41">
        <f t="shared" si="3"/>
        <v>14</v>
      </c>
      <c r="C33" s="42">
        <f t="shared" si="4"/>
        <v>555356.79911828542</v>
      </c>
      <c r="D33" s="4">
        <f t="shared" si="0"/>
        <v>20548.201567376564</v>
      </c>
      <c r="E33" s="4">
        <f>$C$14</f>
        <v>44593.803979369266</v>
      </c>
      <c r="F33" s="4">
        <f t="shared" si="5"/>
        <v>1293606.6304537961</v>
      </c>
      <c r="G33" s="42">
        <f>F33-C33</f>
        <v>738249.83133551071</v>
      </c>
      <c r="H33" s="4">
        <f t="shared" si="1"/>
        <v>-12936.066304537961</v>
      </c>
      <c r="I33" s="42">
        <f t="shared" si="2"/>
        <v>-57529.870283907228</v>
      </c>
      <c r="J33" s="2"/>
      <c r="K33" s="42">
        <f>-F33*$C$10/100</f>
        <v>-54331.478479059442</v>
      </c>
      <c r="L33" s="2"/>
      <c r="M33" s="40">
        <f t="shared" si="6"/>
        <v>-3198.3918048477863</v>
      </c>
      <c r="N33" s="19"/>
      <c r="O33" s="31"/>
      <c r="P33" s="53">
        <f>IF($P$3=B33,G33,IF(B33&gt;$P$3,0,M33))</f>
        <v>0</v>
      </c>
    </row>
    <row r="34" spans="2:16">
      <c r="B34" s="41">
        <f t="shared" si="3"/>
        <v>15</v>
      </c>
      <c r="C34" s="42">
        <f t="shared" si="4"/>
        <v>531311.1967062928</v>
      </c>
      <c r="D34" s="4">
        <f t="shared" si="0"/>
        <v>19658.514278132836</v>
      </c>
      <c r="E34" s="4">
        <f>$C$14</f>
        <v>44593.803979369266</v>
      </c>
      <c r="F34" s="4">
        <f t="shared" si="5"/>
        <v>1319478.763062872</v>
      </c>
      <c r="G34" s="42">
        <f>F34-C34</f>
        <v>788167.56635657919</v>
      </c>
      <c r="H34" s="4">
        <f t="shared" si="1"/>
        <v>-13194.78763062872</v>
      </c>
      <c r="I34" s="42">
        <f t="shared" si="2"/>
        <v>-57788.591609997988</v>
      </c>
      <c r="J34" s="2"/>
      <c r="K34" s="42">
        <f>-F34*$C$10/100</f>
        <v>-55418.108048640628</v>
      </c>
      <c r="L34" s="2"/>
      <c r="M34" s="40">
        <f t="shared" si="6"/>
        <v>-2370.4835613573596</v>
      </c>
      <c r="N34" s="19"/>
      <c r="O34" s="31"/>
      <c r="P34" s="53">
        <f>IF($P$3=B34,G34,IF(B34&gt;$P$3,0,M34))</f>
        <v>0</v>
      </c>
    </row>
    <row r="35" spans="2:16">
      <c r="B35" s="41">
        <f t="shared" si="3"/>
        <v>16</v>
      </c>
      <c r="C35" s="42">
        <f t="shared" si="4"/>
        <v>506375.90700505633</v>
      </c>
      <c r="D35" s="4">
        <f t="shared" si="0"/>
        <v>18735.908559187086</v>
      </c>
      <c r="E35" s="4">
        <f>$C$14</f>
        <v>44593.803979369266</v>
      </c>
      <c r="F35" s="4">
        <f t="shared" si="5"/>
        <v>1345868.3383241293</v>
      </c>
      <c r="G35" s="42">
        <f>F35-C35</f>
        <v>839492.43131907308</v>
      </c>
      <c r="H35" s="4">
        <f t="shared" si="1"/>
        <v>-13458.683383241294</v>
      </c>
      <c r="I35" s="42">
        <f t="shared" si="2"/>
        <v>-58052.487362610562</v>
      </c>
      <c r="J35" s="2"/>
      <c r="K35" s="42">
        <f>-F35*$C$10/100</f>
        <v>-56526.470209613435</v>
      </c>
      <c r="L35" s="2"/>
      <c r="M35" s="40">
        <f t="shared" si="6"/>
        <v>-1526.0171529971267</v>
      </c>
      <c r="N35" s="19"/>
      <c r="O35" s="31"/>
      <c r="P35" s="53">
        <f>IF($P$3=B35,G35,IF(B35&gt;$P$3,0,M35))</f>
        <v>0</v>
      </c>
    </row>
    <row r="36" spans="2:16">
      <c r="B36" s="41">
        <f t="shared" si="3"/>
        <v>17</v>
      </c>
      <c r="C36" s="42">
        <f t="shared" si="4"/>
        <v>480518.01158487418</v>
      </c>
      <c r="D36" s="4">
        <f t="shared" si="0"/>
        <v>17779.166428640347</v>
      </c>
      <c r="E36" s="4">
        <f>$C$14</f>
        <v>44593.803979369266</v>
      </c>
      <c r="F36" s="4">
        <f t="shared" si="5"/>
        <v>1372785.7050906119</v>
      </c>
      <c r="G36" s="42">
        <f>F36-C36</f>
        <v>892267.6935057377</v>
      </c>
      <c r="H36" s="4">
        <f t="shared" si="1"/>
        <v>-13727.857050906119</v>
      </c>
      <c r="I36" s="42">
        <f t="shared" si="2"/>
        <v>-58321.661030275383</v>
      </c>
      <c r="J36" s="2"/>
      <c r="K36" s="42">
        <f>-F36*$C$10/100</f>
        <v>-57656.999613805703</v>
      </c>
      <c r="L36" s="2"/>
      <c r="M36" s="40">
        <f t="shared" si="6"/>
        <v>-664.66141646968026</v>
      </c>
      <c r="N36" s="19"/>
      <c r="O36" s="31"/>
      <c r="P36" s="53">
        <f>IF($P$3=B36,G36,IF(B36&gt;$P$3,0,M36))</f>
        <v>0</v>
      </c>
    </row>
    <row r="37" spans="2:16">
      <c r="B37" s="41">
        <f t="shared" si="3"/>
        <v>18</v>
      </c>
      <c r="C37" s="42">
        <f t="shared" si="4"/>
        <v>453703.37403414526</v>
      </c>
      <c r="D37" s="4">
        <f t="shared" si="0"/>
        <v>16787.024839263377</v>
      </c>
      <c r="E37" s="4">
        <f>$C$14</f>
        <v>44593.803979369266</v>
      </c>
      <c r="F37" s="4">
        <f t="shared" si="5"/>
        <v>1400241.4191924243</v>
      </c>
      <c r="G37" s="42">
        <f>F37-C37</f>
        <v>946538.04515827901</v>
      </c>
      <c r="H37" s="4">
        <f t="shared" si="1"/>
        <v>-14002.414191924243</v>
      </c>
      <c r="I37" s="42">
        <f t="shared" si="2"/>
        <v>-58596.218171293513</v>
      </c>
      <c r="J37" s="2"/>
      <c r="K37" s="42">
        <f>-F37*$C$10/100</f>
        <v>-58810.139606081822</v>
      </c>
      <c r="L37" s="2"/>
      <c r="M37" s="40">
        <f t="shared" si="6"/>
        <v>213.92143478830985</v>
      </c>
      <c r="N37" s="19"/>
      <c r="O37" s="31"/>
      <c r="P37" s="53">
        <f>IF($P$3=B37,G37,IF(B37&gt;$P$3,0,M37))</f>
        <v>0</v>
      </c>
    </row>
    <row r="38" spans="2:16">
      <c r="B38" s="41">
        <f t="shared" si="3"/>
        <v>19</v>
      </c>
      <c r="C38" s="42">
        <f t="shared" si="4"/>
        <v>425896.59489403933</v>
      </c>
      <c r="D38" s="4">
        <f t="shared" si="0"/>
        <v>15758.174011079458</v>
      </c>
      <c r="E38" s="4">
        <f>$C$14</f>
        <v>44593.803979369266</v>
      </c>
      <c r="F38" s="4">
        <f t="shared" si="5"/>
        <v>1428246.2475762728</v>
      </c>
      <c r="G38" s="42">
        <f>F38-C38</f>
        <v>1002349.6526822335</v>
      </c>
      <c r="H38" s="4">
        <f t="shared" si="1"/>
        <v>-14282.462475762728</v>
      </c>
      <c r="I38" s="42">
        <f t="shared" si="2"/>
        <v>-58876.26645513199</v>
      </c>
      <c r="J38" s="2"/>
      <c r="K38" s="42">
        <f>-F38*$C$10/100</f>
        <v>-59986.342398203466</v>
      </c>
      <c r="L38" s="2"/>
      <c r="M38" s="40">
        <f t="shared" si="6"/>
        <v>1110.0759430714752</v>
      </c>
      <c r="N38" s="19"/>
      <c r="O38" s="31"/>
      <c r="P38" s="53">
        <f>IF($P$3=B38,G38,IF(B38&gt;$P$3,0,M38))</f>
        <v>0</v>
      </c>
    </row>
    <row r="39" spans="2:16">
      <c r="B39" s="41">
        <f t="shared" si="3"/>
        <v>20</v>
      </c>
      <c r="C39" s="42">
        <f t="shared" si="4"/>
        <v>397060.96492574952</v>
      </c>
      <c r="D39" s="4">
        <f t="shared" si="0"/>
        <v>14691.255702252734</v>
      </c>
      <c r="E39" s="4">
        <f>$C$14</f>
        <v>44593.803979369266</v>
      </c>
      <c r="F39" s="4">
        <f t="shared" si="5"/>
        <v>1456811.1725277982</v>
      </c>
      <c r="G39" s="42">
        <f>F39-C39</f>
        <v>1059750.2076020488</v>
      </c>
      <c r="H39" s="4">
        <f t="shared" si="1"/>
        <v>-14568.111725277982</v>
      </c>
      <c r="I39" s="42">
        <f t="shared" si="2"/>
        <v>-59161.915704647246</v>
      </c>
      <c r="J39" s="2"/>
      <c r="K39" s="42">
        <f>-F39*$C$10/100</f>
        <v>-61186.069246167528</v>
      </c>
      <c r="L39" s="2"/>
      <c r="M39" s="40">
        <f t="shared" si="6"/>
        <v>2024.1535415202816</v>
      </c>
      <c r="N39" s="19"/>
      <c r="O39" s="31"/>
      <c r="P39" s="53">
        <f>IF($P$3=B39,G39,IF(B39&gt;$P$3,0,M39))</f>
        <v>0</v>
      </c>
    </row>
    <row r="40" spans="2:16">
      <c r="B40" s="41">
        <f t="shared" si="3"/>
        <v>21</v>
      </c>
      <c r="C40" s="42">
        <f t="shared" si="4"/>
        <v>367158.41664863296</v>
      </c>
      <c r="D40" s="4">
        <f t="shared" si="0"/>
        <v>13584.861415999421</v>
      </c>
      <c r="E40" s="4">
        <f>$C$14</f>
        <v>44593.803979369266</v>
      </c>
      <c r="F40" s="4">
        <f t="shared" si="5"/>
        <v>1485947.3959783542</v>
      </c>
      <c r="G40" s="42">
        <f>F40-C40</f>
        <v>1118788.9793297211</v>
      </c>
      <c r="H40" s="4">
        <f t="shared" si="1"/>
        <v>-14859.473959783541</v>
      </c>
      <c r="I40" s="42">
        <f t="shared" si="2"/>
        <v>-59453.277939152809</v>
      </c>
      <c r="J40" s="2"/>
      <c r="K40" s="42">
        <f>-F40*$C$10/100</f>
        <v>-62409.79063109088</v>
      </c>
      <c r="L40" s="2"/>
      <c r="M40" s="40">
        <f t="shared" si="6"/>
        <v>2956.5126919380709</v>
      </c>
      <c r="N40" s="19"/>
      <c r="O40" s="31"/>
      <c r="P40" s="53">
        <f>IF($P$3=B40,G40,IF(B40&gt;$P$3,0,M40))</f>
        <v>0</v>
      </c>
    </row>
    <row r="41" spans="2:16">
      <c r="B41" s="41">
        <f t="shared" si="3"/>
        <v>22</v>
      </c>
      <c r="C41" s="42">
        <f t="shared" si="4"/>
        <v>336149.47408526309</v>
      </c>
      <c r="D41" s="4">
        <f t="shared" si="0"/>
        <v>12437.530541154736</v>
      </c>
      <c r="E41" s="4">
        <f>$C$14</f>
        <v>44593.803979369266</v>
      </c>
      <c r="F41" s="4">
        <f t="shared" si="5"/>
        <v>1515666.3438979213</v>
      </c>
      <c r="G41" s="42">
        <f>F41-C41</f>
        <v>1179516.8698126581</v>
      </c>
      <c r="H41" s="4">
        <f t="shared" si="1"/>
        <v>-15156.663438979213</v>
      </c>
      <c r="I41" s="42">
        <f t="shared" si="2"/>
        <v>-59750.467418348475</v>
      </c>
      <c r="J41" s="2"/>
      <c r="K41" s="42">
        <f>-F41*$C$10/100</f>
        <v>-63657.986443712696</v>
      </c>
      <c r="L41" s="2"/>
      <c r="M41" s="40">
        <f t="shared" si="6"/>
        <v>3907.5190253642213</v>
      </c>
      <c r="N41" s="19"/>
      <c r="O41" s="31"/>
      <c r="P41" s="53">
        <f>IF($P$3=B41,G41,IF(B41&gt;$P$3,0,M41))</f>
        <v>0</v>
      </c>
    </row>
    <row r="42" spans="2:16">
      <c r="B42" s="41">
        <f t="shared" si="3"/>
        <v>23</v>
      </c>
      <c r="C42" s="42">
        <f t="shared" si="4"/>
        <v>303993.20064704854</v>
      </c>
      <c r="D42" s="4">
        <f t="shared" si="0"/>
        <v>11247.748423940797</v>
      </c>
      <c r="E42" s="4">
        <f>$C$14</f>
        <v>44593.803979369266</v>
      </c>
      <c r="F42" s="4">
        <f t="shared" si="5"/>
        <v>1545979.6707758796</v>
      </c>
      <c r="G42" s="42">
        <f>F42-C42</f>
        <v>1241986.470128831</v>
      </c>
      <c r="H42" s="4">
        <f t="shared" si="1"/>
        <v>-15459.796707758796</v>
      </c>
      <c r="I42" s="42">
        <f t="shared" si="2"/>
        <v>-60053.600687128062</v>
      </c>
      <c r="J42" s="2"/>
      <c r="K42" s="42">
        <f>-F42*$C$10/100</f>
        <v>-64931.146172586952</v>
      </c>
      <c r="L42" s="2"/>
      <c r="M42" s="40">
        <f t="shared" si="6"/>
        <v>4877.5454854588897</v>
      </c>
      <c r="N42" s="19"/>
      <c r="O42" s="31"/>
      <c r="P42" s="53">
        <f>IF($P$3=B42,G42,IF(B42&gt;$P$3,0,M42))</f>
        <v>0</v>
      </c>
    </row>
    <row r="43" spans="2:16">
      <c r="B43" s="41">
        <f t="shared" si="3"/>
        <v>24</v>
      </c>
      <c r="C43" s="42">
        <f t="shared" si="4"/>
        <v>270647.14509162004</v>
      </c>
      <c r="D43" s="4">
        <f t="shared" si="0"/>
        <v>10013.944368389943</v>
      </c>
      <c r="E43" s="4">
        <f>$C$14</f>
        <v>44593.803979369266</v>
      </c>
      <c r="F43" s="4">
        <f t="shared" si="5"/>
        <v>1576899.2641913972</v>
      </c>
      <c r="G43" s="42">
        <f>F43-C43</f>
        <v>1306252.1190997772</v>
      </c>
      <c r="H43" s="4">
        <f t="shared" si="1"/>
        <v>-15768.992641913972</v>
      </c>
      <c r="I43" s="42">
        <f t="shared" si="2"/>
        <v>-60362.79662128324</v>
      </c>
      <c r="J43" s="2"/>
      <c r="K43" s="42">
        <f>-F43*$C$10/100</f>
        <v>-66229.769096038683</v>
      </c>
      <c r="L43" s="2"/>
      <c r="M43" s="40">
        <f t="shared" si="6"/>
        <v>5866.9724747554428</v>
      </c>
      <c r="N43" s="19"/>
      <c r="O43" s="31"/>
      <c r="P43" s="53">
        <f>IF($P$3=B43,G43,IF(B43&gt;$P$3,0,M43))</f>
        <v>0</v>
      </c>
    </row>
    <row r="44" spans="2:16">
      <c r="B44" s="41">
        <f t="shared" si="3"/>
        <v>25</v>
      </c>
      <c r="C44" s="42">
        <f t="shared" si="4"/>
        <v>236067.28548064074</v>
      </c>
      <c r="D44" s="4">
        <f t="shared" si="0"/>
        <v>8734.4895627837086</v>
      </c>
      <c r="E44" s="4">
        <f>$C$14</f>
        <v>44593.803979369266</v>
      </c>
      <c r="F44" s="4">
        <f t="shared" si="5"/>
        <v>1608437.2494752251</v>
      </c>
      <c r="G44" s="42">
        <f>F44-C44</f>
        <v>1372369.9639945843</v>
      </c>
      <c r="H44" s="4">
        <f t="shared" si="1"/>
        <v>-16084.372494752251</v>
      </c>
      <c r="I44" s="42">
        <f t="shared" si="2"/>
        <v>-60678.176474121516</v>
      </c>
      <c r="J44" s="2"/>
      <c r="K44" s="42">
        <f>-F44*$C$10/100</f>
        <v>-67554.364477959462</v>
      </c>
      <c r="L44" s="2"/>
      <c r="M44" s="40">
        <f t="shared" si="6"/>
        <v>6876.1880038379459</v>
      </c>
      <c r="N44" s="19"/>
      <c r="O44" s="31"/>
      <c r="P44" s="53">
        <f>IF($P$3=B44,G44,IF(B44&gt;$P$3,0,M44))</f>
        <v>0</v>
      </c>
    </row>
    <row r="45" spans="2:16">
      <c r="B45" s="41">
        <f t="shared" si="3"/>
        <v>26</v>
      </c>
      <c r="C45" s="42">
        <f t="shared" si="4"/>
        <v>200207.97106405519</v>
      </c>
      <c r="D45" s="4">
        <f t="shared" si="0"/>
        <v>7407.6949293700436</v>
      </c>
      <c r="E45" s="4">
        <f>$C$14</f>
        <v>44593.803979369266</v>
      </c>
      <c r="F45" s="4">
        <f t="shared" si="5"/>
        <v>1640605.9944647297</v>
      </c>
      <c r="G45" s="42">
        <f>F45-C45</f>
        <v>1440398.0234006746</v>
      </c>
      <c r="H45" s="4">
        <f t="shared" si="1"/>
        <v>-16406.059944647295</v>
      </c>
      <c r="I45" s="42">
        <f t="shared" si="2"/>
        <v>-60999.863924016565</v>
      </c>
      <c r="J45" s="2"/>
      <c r="K45" s="42">
        <f>-F45*$C$10/100</f>
        <v>-68905.451767518651</v>
      </c>
      <c r="L45" s="2"/>
      <c r="M45" s="40">
        <f t="shared" si="6"/>
        <v>7905.5878435020859</v>
      </c>
      <c r="N45" s="19"/>
      <c r="O45" s="31"/>
      <c r="P45" s="53">
        <f>IF($P$3=B45,G45,IF(B45&gt;$P$3,0,M45))</f>
        <v>0</v>
      </c>
    </row>
    <row r="46" spans="2:16">
      <c r="B46" s="41">
        <f t="shared" si="3"/>
        <v>27</v>
      </c>
      <c r="C46" s="42">
        <f t="shared" si="4"/>
        <v>163021.86201405598</v>
      </c>
      <c r="D46" s="4">
        <f t="shared" si="0"/>
        <v>6031.8088945200725</v>
      </c>
      <c r="E46" s="4">
        <f>$C$14</f>
        <v>44593.803979369266</v>
      </c>
      <c r="F46" s="4">
        <f t="shared" si="5"/>
        <v>1673418.1143540244</v>
      </c>
      <c r="G46" s="42">
        <f>F46-C46</f>
        <v>1510396.2523399685</v>
      </c>
      <c r="H46" s="4">
        <f t="shared" si="1"/>
        <v>-16734.181143540245</v>
      </c>
      <c r="I46" s="42">
        <f t="shared" si="2"/>
        <v>-61327.985122909507</v>
      </c>
      <c r="J46" s="2"/>
      <c r="K46" s="42">
        <f>-F46*$C$10/100</f>
        <v>-70283.560802869019</v>
      </c>
      <c r="L46" s="2"/>
      <c r="M46" s="40">
        <f t="shared" si="6"/>
        <v>8955.575679959511</v>
      </c>
      <c r="N46" s="19"/>
      <c r="O46" s="31"/>
      <c r="P46" s="53">
        <f>IF($P$3=B46,G46,IF(B46&gt;$P$3,0,M46))</f>
        <v>0</v>
      </c>
    </row>
    <row r="47" spans="2:16">
      <c r="B47" s="41">
        <f t="shared" si="3"/>
        <v>28</v>
      </c>
      <c r="C47" s="42">
        <f t="shared" si="4"/>
        <v>124459.86692920679</v>
      </c>
      <c r="D47" s="4">
        <f t="shared" si="0"/>
        <v>4605.0150763806523</v>
      </c>
      <c r="E47" s="4">
        <f>$C$14</f>
        <v>44593.803979369266</v>
      </c>
      <c r="F47" s="4">
        <f t="shared" si="5"/>
        <v>1706886.476641105</v>
      </c>
      <c r="G47" s="42">
        <f>F47-C47</f>
        <v>1582426.6097118983</v>
      </c>
      <c r="H47" s="4">
        <f t="shared" si="1"/>
        <v>-17068.86476641105</v>
      </c>
      <c r="I47" s="42">
        <f t="shared" si="2"/>
        <v>-61662.66874578032</v>
      </c>
      <c r="J47" s="2"/>
      <c r="K47" s="42">
        <f>-F47*$C$10/100</f>
        <v>-71689.232018926414</v>
      </c>
      <c r="L47" s="2"/>
      <c r="M47" s="40">
        <f t="shared" si="6"/>
        <v>10026.563273146094</v>
      </c>
      <c r="N47" s="19"/>
      <c r="O47" s="31"/>
      <c r="P47" s="53">
        <f>IF($P$3=B47,G47,IF(B47&gt;$P$3,0,M47))</f>
        <v>0</v>
      </c>
    </row>
    <row r="48" spans="2:16">
      <c r="B48" s="41">
        <f t="shared" si="3"/>
        <v>29</v>
      </c>
      <c r="C48" s="42">
        <f t="shared" si="4"/>
        <v>84471.078026218194</v>
      </c>
      <c r="D48" s="4">
        <f t="shared" si="0"/>
        <v>3125.4298869700738</v>
      </c>
      <c r="E48" s="4">
        <f>$C$14</f>
        <v>44593.803979369266</v>
      </c>
      <c r="F48" s="4">
        <f t="shared" si="5"/>
        <v>1741024.2061739271</v>
      </c>
      <c r="G48" s="42">
        <f>F48-C48</f>
        <v>1656553.128147709</v>
      </c>
      <c r="H48" s="4">
        <f t="shared" si="1"/>
        <v>-17410.242061739271</v>
      </c>
      <c r="I48" s="42">
        <f t="shared" si="2"/>
        <v>-62004.046041108537</v>
      </c>
      <c r="J48" s="2"/>
      <c r="K48" s="42">
        <f>-F48*$C$10/100</f>
        <v>-73123.016659304936</v>
      </c>
      <c r="L48" s="2"/>
      <c r="M48" s="40">
        <f t="shared" si="6"/>
        <v>11118.970618196399</v>
      </c>
      <c r="N48" s="19"/>
      <c r="O48" s="31"/>
      <c r="P48" s="53">
        <f>IF($P$3=B48,G48,IF(B48&gt;$P$3,0,M48))</f>
        <v>0</v>
      </c>
    </row>
    <row r="49" spans="2:16" ht="17" thickBot="1">
      <c r="B49" s="43">
        <f t="shared" si="3"/>
        <v>30</v>
      </c>
      <c r="C49" s="44">
        <f t="shared" si="4"/>
        <v>43002.703933819001</v>
      </c>
      <c r="D49" s="45">
        <f t="shared" si="0"/>
        <v>1591.1000455513033</v>
      </c>
      <c r="E49" s="45">
        <f>$C$14</f>
        <v>44593.803979369266</v>
      </c>
      <c r="F49" s="45">
        <f t="shared" si="5"/>
        <v>1775844.6902974057</v>
      </c>
      <c r="G49" s="44">
        <f>F49-C49</f>
        <v>1732841.9863635867</v>
      </c>
      <c r="H49" s="45">
        <f t="shared" si="1"/>
        <v>-17758.446902974058</v>
      </c>
      <c r="I49" s="44">
        <f>G49</f>
        <v>1732841.9863635867</v>
      </c>
      <c r="J49" s="46"/>
      <c r="K49" s="44">
        <f>-F49*$C$10/100</f>
        <v>-74585.476992491051</v>
      </c>
      <c r="L49" s="46"/>
      <c r="M49" s="47">
        <f t="shared" si="6"/>
        <v>1807427.4633560777</v>
      </c>
      <c r="O49" s="32"/>
      <c r="P49" s="54">
        <f>IF($P$3=B49,G49,IF(B49&gt;$P$3,0,M49))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Sahai</dc:creator>
  <cp:lastModifiedBy>Harsh Sahai</cp:lastModifiedBy>
  <dcterms:created xsi:type="dcterms:W3CDTF">2022-05-14T22:15:06Z</dcterms:created>
  <dcterms:modified xsi:type="dcterms:W3CDTF">2022-05-15T19:33:32Z</dcterms:modified>
</cp:coreProperties>
</file>